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fazal\"/>
    </mc:Choice>
  </mc:AlternateContent>
  <xr:revisionPtr revIDLastSave="0" documentId="13_ncr:1_{CA90EC20-9A17-4D03-8894-1E14E56BE1AE}" xr6:coauthVersionLast="47" xr6:coauthVersionMax="47" xr10:uidLastSave="{00000000-0000-0000-0000-000000000000}"/>
  <bookViews>
    <workbookView xWindow="-120" yWindow="-120" windowWidth="19440" windowHeight="15000" xr2:uid="{CEB5C86D-3508-4A40-8F9A-18ED9D9BD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" l="1"/>
  <c r="G4" i="1"/>
  <c r="E4" i="1"/>
  <c r="F4" i="1"/>
  <c r="H4" i="1"/>
  <c r="E5" i="1"/>
  <c r="F5" i="1"/>
  <c r="G5" i="1"/>
  <c r="H5" i="1"/>
  <c r="E6" i="1"/>
  <c r="F6" i="1"/>
  <c r="H6" i="1"/>
  <c r="E7" i="1"/>
  <c r="F7" i="1"/>
  <c r="H7" i="1"/>
  <c r="E8" i="1"/>
  <c r="F8" i="1"/>
  <c r="G8" i="1"/>
  <c r="H8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D5" i="1"/>
  <c r="D6" i="1"/>
  <c r="D7" i="1"/>
  <c r="D8" i="1"/>
  <c r="D9" i="1"/>
  <c r="D10" i="1"/>
  <c r="D11" i="1"/>
  <c r="D12" i="1"/>
  <c r="D13" i="1"/>
  <c r="D15" i="1"/>
  <c r="D16" i="1"/>
  <c r="D17" i="1"/>
  <c r="D18" i="1"/>
  <c r="D19" i="1"/>
  <c r="D20" i="1"/>
  <c r="D21" i="1"/>
  <c r="D4" i="1"/>
  <c r="K19" i="1" l="1"/>
  <c r="L19" i="1" s="1"/>
  <c r="K15" i="1"/>
  <c r="L15" i="1" s="1"/>
  <c r="K11" i="1"/>
  <c r="L11" i="1" s="1"/>
  <c r="K7" i="1"/>
  <c r="L7" i="1" s="1"/>
  <c r="K20" i="1"/>
  <c r="L20" i="1" s="1"/>
  <c r="K16" i="1"/>
  <c r="L16" i="1" s="1"/>
  <c r="K12" i="1"/>
  <c r="L12" i="1" s="1"/>
  <c r="K8" i="1"/>
  <c r="L8" i="1" s="1"/>
  <c r="K10" i="1"/>
  <c r="L10" i="1" s="1"/>
  <c r="K18" i="1"/>
  <c r="L18" i="1" s="1"/>
  <c r="K14" i="1"/>
  <c r="L14" i="1" s="1"/>
  <c r="K6" i="1"/>
  <c r="L6" i="1" s="1"/>
  <c r="K21" i="1"/>
  <c r="L21" i="1" s="1"/>
  <c r="K17" i="1"/>
  <c r="L17" i="1" s="1"/>
  <c r="K13" i="1"/>
  <c r="L13" i="1" s="1"/>
  <c r="K9" i="1"/>
  <c r="L9" i="1" s="1"/>
  <c r="K5" i="1"/>
  <c r="L5" i="1" s="1"/>
  <c r="K4" i="1"/>
  <c r="L4" i="1" s="1"/>
  <c r="I19" i="1"/>
  <c r="I15" i="1"/>
  <c r="I11" i="1"/>
  <c r="I7" i="1"/>
  <c r="I20" i="1"/>
  <c r="I16" i="1"/>
  <c r="I12" i="1"/>
  <c r="I8" i="1"/>
  <c r="I10" i="1"/>
  <c r="I18" i="1"/>
  <c r="I14" i="1"/>
  <c r="I6" i="1"/>
  <c r="I21" i="1"/>
  <c r="I17" i="1"/>
  <c r="I13" i="1"/>
  <c r="I9" i="1"/>
  <c r="I5" i="1"/>
  <c r="I4" i="1"/>
</calcChain>
</file>

<file path=xl/sharedStrings.xml><?xml version="1.0" encoding="utf-8"?>
<sst xmlns="http://schemas.openxmlformats.org/spreadsheetml/2006/main" count="32" uniqueCount="15">
  <si>
    <t>FEES MANAGEMENT SYSTEM</t>
  </si>
  <si>
    <t>Std.ID</t>
  </si>
  <si>
    <t>Name</t>
  </si>
  <si>
    <t>Class</t>
  </si>
  <si>
    <t>Jan</t>
  </si>
  <si>
    <t>Feb</t>
  </si>
  <si>
    <t>Mr</t>
  </si>
  <si>
    <t>Apr</t>
  </si>
  <si>
    <t>May</t>
  </si>
  <si>
    <t>Rem. Month</t>
  </si>
  <si>
    <t>Total Month</t>
  </si>
  <si>
    <t>Dep.Bal</t>
  </si>
  <si>
    <t>Rem.Bal</t>
  </si>
  <si>
    <t>Total Fees</t>
  </si>
  <si>
    <t>CPISM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</si>
</sst>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5" xfId="0" applyBorder="1"/>
    <xf numFmtId="0" fontId="0" fillId="0" borderId="4" xfId="0" applyBorder="1"/>
    <xf numFmtId="0" fontId="0" fillId="0" borderId="11" xfId="0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percentage%20and%20grade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4</xdr:row>
      <xdr:rowOff>171450</xdr:rowOff>
    </xdr:from>
    <xdr:to>
      <xdr:col>17</xdr:col>
      <xdr:colOff>47625</xdr:colOff>
      <xdr:row>7</xdr:row>
      <xdr:rowOff>9525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176875-9F69-8311-47C9-BF4A3D857090}"/>
            </a:ext>
          </a:extLst>
        </xdr:cNvPr>
        <xdr:cNvSpPr/>
      </xdr:nvSpPr>
      <xdr:spPr>
        <a:xfrm>
          <a:off x="9191625" y="933450"/>
          <a:ext cx="21431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 To Dashboard</a:t>
          </a:r>
          <a:endParaRPr lang="en-PK" sz="2000">
            <a:effectLst/>
          </a:endParaRPr>
        </a:p>
        <a:p>
          <a:pPr algn="l"/>
          <a:endParaRPr lang="en-PK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87895-4341-422F-81CC-CB7D35CFD710}" name="Table1" displayName="Table1" ref="A3:M21" totalsRowShown="0" headerRowDxfId="16" headerRowBorderDxfId="15" tableBorderDxfId="14" totalsRowBorderDxfId="13">
  <tableColumns count="13">
    <tableColumn id="1" xr3:uid="{AE3520BD-EDCA-4E55-9839-923FE20308FA}" name="Std.ID" dataDxfId="12"/>
    <tableColumn id="2" xr3:uid="{066F51F4-BC17-44F0-87AA-1C52C01B3CAD}" name="Name" dataDxfId="11"/>
    <tableColumn id="3" xr3:uid="{76C3DADD-56E4-4E5A-9D1C-31599A31B80D}" name="Class" dataDxfId="10"/>
    <tableColumn id="4" xr3:uid="{57614AFC-1D6B-4AA9-9E13-998E59A49B96}" name="Jan" dataDxfId="9">
      <calculatedColumnFormula>RANDBETWEEN(1000,9000)</calculatedColumnFormula>
    </tableColumn>
    <tableColumn id="5" xr3:uid="{2DF0D5EC-98A6-446A-A25E-A1B681F9AC58}" name="Feb" dataDxfId="8">
      <calculatedColumnFormula>RANDBETWEEN(1000,9000)</calculatedColumnFormula>
    </tableColumn>
    <tableColumn id="6" xr3:uid="{6E345DF4-879E-4736-A037-51AF73485DC8}" name="Mr" dataDxfId="7">
      <calculatedColumnFormula>RANDBETWEEN(1000,9000)</calculatedColumnFormula>
    </tableColumn>
    <tableColumn id="7" xr3:uid="{F2B0F99A-B7AB-411E-BEC0-DECE4904D8E7}" name="Apr" dataDxfId="6">
      <calculatedColumnFormula>RANDBETWEEN(1000,9000)</calculatedColumnFormula>
    </tableColumn>
    <tableColumn id="8" xr3:uid="{78447B5D-6AC1-4B32-B8D0-8AE4FFA59169}" name="May" dataDxfId="5">
      <calculatedColumnFormula>RANDBETWEEN(1000,9000)</calculatedColumnFormula>
    </tableColumn>
    <tableColumn id="9" xr3:uid="{3BD9A636-1D46-4189-A960-69337F2FAC36}" name="Rem. Month" dataDxfId="4">
      <calculatedColumnFormula>COUNTBLANK(D4:H4)</calculatedColumnFormula>
    </tableColumn>
    <tableColumn id="10" xr3:uid="{50CFB238-14F7-480C-A683-34E48C2A6BA8}" name="Total Month" dataDxfId="3"/>
    <tableColumn id="11" xr3:uid="{42F4F8B7-B309-4493-ACB4-D80864F6373D}" name="Dep.Bal" dataDxfId="2">
      <calculatedColumnFormula>SUM(D4:H4)</calculatedColumnFormula>
    </tableColumn>
    <tableColumn id="12" xr3:uid="{247AC8DE-5337-4FED-B4C1-0F7E43ACE678}" name="Rem.Bal" dataDxfId="1">
      <calculatedColumnFormula>M4-K4</calculatedColumnFormula>
    </tableColumn>
    <tableColumn id="13" xr3:uid="{0F196520-D4DE-4F05-9336-31BD8796FAD7}" name="Total Fe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AFB7-4382-481F-BF86-A3DBCE232855}">
  <dimension ref="A1:M21"/>
  <sheetViews>
    <sheetView tabSelected="1" workbookViewId="0">
      <selection activeCell="P15" sqref="P15"/>
    </sheetView>
  </sheetViews>
  <sheetFormatPr defaultRowHeight="15" x14ac:dyDescent="0.25"/>
  <cols>
    <col min="9" max="10" width="13.5703125" customWidth="1"/>
    <col min="11" max="11" width="10" customWidth="1"/>
    <col min="12" max="12" width="10.42578125" customWidth="1"/>
    <col min="13" max="13" width="12" customWidth="1"/>
  </cols>
  <sheetData>
    <row r="1" spans="1:13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x14ac:dyDescent="0.2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1:13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6" t="s">
        <v>13</v>
      </c>
    </row>
    <row r="4" spans="1:13" x14ac:dyDescent="0.25">
      <c r="A4" s="2">
        <v>101</v>
      </c>
      <c r="B4" s="1"/>
      <c r="C4" s="1" t="s">
        <v>14</v>
      </c>
      <c r="D4" s="1">
        <f ca="1">RANDBETWEEN(1000,9000)</f>
        <v>1639</v>
      </c>
      <c r="E4" s="1">
        <f t="shared" ref="E4:H4" ca="1" si="0">RANDBETWEEN(1000,9000)</f>
        <v>6580</v>
      </c>
      <c r="F4" s="1">
        <f t="shared" ca="1" si="0"/>
        <v>1439</v>
      </c>
      <c r="G4" s="1">
        <f ca="1">RANDBETWEEN(1000,9000)</f>
        <v>6063</v>
      </c>
      <c r="H4" s="1">
        <f t="shared" ca="1" si="0"/>
        <v>7642</v>
      </c>
      <c r="I4" s="1">
        <f ca="1">COUNTBLANK(D4:H4)</f>
        <v>0</v>
      </c>
      <c r="J4" s="1">
        <v>5</v>
      </c>
      <c r="K4" s="1">
        <f ca="1">SUM(D4:H4)</f>
        <v>23363</v>
      </c>
      <c r="L4" s="1">
        <f ca="1">M4-K4</f>
        <v>21637</v>
      </c>
      <c r="M4" s="3">
        <v>45000</v>
      </c>
    </row>
    <row r="5" spans="1:13" x14ac:dyDescent="0.25">
      <c r="A5" s="2">
        <v>102</v>
      </c>
      <c r="B5" s="1"/>
      <c r="C5" s="1" t="s">
        <v>14</v>
      </c>
      <c r="D5" s="1">
        <f t="shared" ref="D5:H21" ca="1" si="1">RANDBETWEEN(1000,9000)</f>
        <v>8936</v>
      </c>
      <c r="E5" s="1">
        <f t="shared" ca="1" si="1"/>
        <v>2504</v>
      </c>
      <c r="F5" s="1">
        <f t="shared" ca="1" si="1"/>
        <v>6686</v>
      </c>
      <c r="G5" s="1">
        <f t="shared" ca="1" si="1"/>
        <v>8113</v>
      </c>
      <c r="H5" s="1">
        <f t="shared" ca="1" si="1"/>
        <v>4395</v>
      </c>
      <c r="I5" s="1">
        <f t="shared" ref="I5:I21" ca="1" si="2">COUNTBLANK(D5:H5)</f>
        <v>0</v>
      </c>
      <c r="J5" s="1">
        <v>5</v>
      </c>
      <c r="K5" s="1">
        <f t="shared" ref="K5:K21" ca="1" si="3">SUM(D5:H5)</f>
        <v>30634</v>
      </c>
      <c r="L5" s="1">
        <f t="shared" ref="L5:L21" ca="1" si="4">M5-K5</f>
        <v>14366</v>
      </c>
      <c r="M5" s="3">
        <v>45000</v>
      </c>
    </row>
    <row r="6" spans="1:13" x14ac:dyDescent="0.25">
      <c r="A6" s="2">
        <v>103</v>
      </c>
      <c r="B6" s="1"/>
      <c r="C6" s="1" t="s">
        <v>14</v>
      </c>
      <c r="D6" s="1">
        <f t="shared" ca="1" si="1"/>
        <v>7778</v>
      </c>
      <c r="E6" s="1">
        <f t="shared" ca="1" si="1"/>
        <v>2282</v>
      </c>
      <c r="F6" s="1">
        <f t="shared" ca="1" si="1"/>
        <v>6249</v>
      </c>
      <c r="G6" s="1">
        <f ca="1">RANDBETWEEN(1000,9000)</f>
        <v>3244</v>
      </c>
      <c r="H6" s="1">
        <f t="shared" ca="1" si="1"/>
        <v>1100</v>
      </c>
      <c r="I6" s="1">
        <f t="shared" ca="1" si="2"/>
        <v>0</v>
      </c>
      <c r="J6" s="1">
        <v>5</v>
      </c>
      <c r="K6" s="1">
        <f t="shared" ca="1" si="3"/>
        <v>20653</v>
      </c>
      <c r="L6" s="1">
        <f t="shared" ca="1" si="4"/>
        <v>24347</v>
      </c>
      <c r="M6" s="3">
        <v>45000</v>
      </c>
    </row>
    <row r="7" spans="1:13" x14ac:dyDescent="0.25">
      <c r="A7" s="2">
        <v>104</v>
      </c>
      <c r="B7" s="1"/>
      <c r="C7" s="1" t="s">
        <v>14</v>
      </c>
      <c r="D7" s="1">
        <f t="shared" ca="1" si="1"/>
        <v>7581</v>
      </c>
      <c r="E7" s="1">
        <f t="shared" ca="1" si="1"/>
        <v>8787</v>
      </c>
      <c r="F7" s="1">
        <f t="shared" ca="1" si="1"/>
        <v>4752</v>
      </c>
      <c r="G7" s="1"/>
      <c r="H7" s="1">
        <f t="shared" ca="1" si="1"/>
        <v>4982</v>
      </c>
      <c r="I7" s="1">
        <f t="shared" ca="1" si="2"/>
        <v>1</v>
      </c>
      <c r="J7" s="1">
        <v>5</v>
      </c>
      <c r="K7" s="1">
        <f t="shared" ca="1" si="3"/>
        <v>26102</v>
      </c>
      <c r="L7" s="1">
        <f t="shared" ca="1" si="4"/>
        <v>18898</v>
      </c>
      <c r="M7" s="3">
        <v>45000</v>
      </c>
    </row>
    <row r="8" spans="1:13" x14ac:dyDescent="0.25">
      <c r="A8" s="2">
        <v>105</v>
      </c>
      <c r="B8" s="1"/>
      <c r="C8" s="1" t="s">
        <v>14</v>
      </c>
      <c r="D8" s="1">
        <f t="shared" ca="1" si="1"/>
        <v>4529</v>
      </c>
      <c r="E8" s="1">
        <f t="shared" ca="1" si="1"/>
        <v>2550</v>
      </c>
      <c r="F8" s="1">
        <f t="shared" ca="1" si="1"/>
        <v>2357</v>
      </c>
      <c r="G8" s="1">
        <f t="shared" ca="1" si="1"/>
        <v>3079</v>
      </c>
      <c r="H8" s="1">
        <f t="shared" ca="1" si="1"/>
        <v>2624</v>
      </c>
      <c r="I8" s="1">
        <f t="shared" ca="1" si="2"/>
        <v>0</v>
      </c>
      <c r="J8" s="1">
        <v>5</v>
      </c>
      <c r="K8" s="1">
        <f t="shared" ca="1" si="3"/>
        <v>15139</v>
      </c>
      <c r="L8" s="1">
        <f t="shared" ca="1" si="4"/>
        <v>29861</v>
      </c>
      <c r="M8" s="3">
        <v>45000</v>
      </c>
    </row>
    <row r="9" spans="1:13" x14ac:dyDescent="0.25">
      <c r="A9" s="2">
        <v>106</v>
      </c>
      <c r="B9" s="1"/>
      <c r="C9" s="1" t="s">
        <v>14</v>
      </c>
      <c r="D9" s="1">
        <f t="shared" ca="1" si="1"/>
        <v>1647</v>
      </c>
      <c r="E9" s="1"/>
      <c r="F9" s="1">
        <f t="shared" ca="1" si="1"/>
        <v>8126</v>
      </c>
      <c r="G9" s="1">
        <f t="shared" ca="1" si="1"/>
        <v>1821</v>
      </c>
      <c r="H9" s="1">
        <f t="shared" ca="1" si="1"/>
        <v>1795</v>
      </c>
      <c r="I9" s="1">
        <f t="shared" ca="1" si="2"/>
        <v>1</v>
      </c>
      <c r="J9" s="1">
        <v>5</v>
      </c>
      <c r="K9" s="1">
        <f t="shared" ca="1" si="3"/>
        <v>13389</v>
      </c>
      <c r="L9" s="1">
        <f t="shared" ca="1" si="4"/>
        <v>31611</v>
      </c>
      <c r="M9" s="3">
        <v>45000</v>
      </c>
    </row>
    <row r="10" spans="1:13" x14ac:dyDescent="0.25">
      <c r="A10" s="2">
        <v>107</v>
      </c>
      <c r="B10" s="1"/>
      <c r="C10" s="1" t="s">
        <v>14</v>
      </c>
      <c r="D10" s="1">
        <f t="shared" ca="1" si="1"/>
        <v>8101</v>
      </c>
      <c r="E10" s="1">
        <f t="shared" ca="1" si="1"/>
        <v>2781</v>
      </c>
      <c r="F10" s="1">
        <f t="shared" ca="1" si="1"/>
        <v>7114</v>
      </c>
      <c r="G10" s="1">
        <f t="shared" ca="1" si="1"/>
        <v>5547</v>
      </c>
      <c r="H10" s="1">
        <f t="shared" ca="1" si="1"/>
        <v>8176</v>
      </c>
      <c r="I10" s="1">
        <f t="shared" ca="1" si="2"/>
        <v>0</v>
      </c>
      <c r="J10" s="1">
        <v>5</v>
      </c>
      <c r="K10" s="1">
        <f t="shared" ca="1" si="3"/>
        <v>31719</v>
      </c>
      <c r="L10" s="1">
        <f t="shared" ca="1" si="4"/>
        <v>13281</v>
      </c>
      <c r="M10" s="3">
        <v>45000</v>
      </c>
    </row>
    <row r="11" spans="1:13" x14ac:dyDescent="0.25">
      <c r="A11" s="2">
        <v>108</v>
      </c>
      <c r="B11" s="1"/>
      <c r="C11" s="1" t="s">
        <v>14</v>
      </c>
      <c r="D11" s="1">
        <f t="shared" ca="1" si="1"/>
        <v>2694</v>
      </c>
      <c r="E11" s="1">
        <f t="shared" ca="1" si="1"/>
        <v>7404</v>
      </c>
      <c r="F11" s="1">
        <f t="shared" ca="1" si="1"/>
        <v>7635</v>
      </c>
      <c r="G11" s="1">
        <f t="shared" ca="1" si="1"/>
        <v>1934</v>
      </c>
      <c r="H11" s="1">
        <f t="shared" ca="1" si="1"/>
        <v>3292</v>
      </c>
      <c r="I11" s="1">
        <f t="shared" ca="1" si="2"/>
        <v>0</v>
      </c>
      <c r="J11" s="1">
        <v>5</v>
      </c>
      <c r="K11" s="1">
        <f t="shared" ca="1" si="3"/>
        <v>22959</v>
      </c>
      <c r="L11" s="1">
        <f t="shared" ca="1" si="4"/>
        <v>22041</v>
      </c>
      <c r="M11" s="3">
        <v>45000</v>
      </c>
    </row>
    <row r="12" spans="1:13" x14ac:dyDescent="0.25">
      <c r="A12" s="2">
        <v>109</v>
      </c>
      <c r="B12" s="1"/>
      <c r="C12" s="1" t="s">
        <v>14</v>
      </c>
      <c r="D12" s="1">
        <f t="shared" ca="1" si="1"/>
        <v>2903</v>
      </c>
      <c r="E12" s="1">
        <f t="shared" ca="1" si="1"/>
        <v>2635</v>
      </c>
      <c r="F12" s="1">
        <f t="shared" ca="1" si="1"/>
        <v>4586</v>
      </c>
      <c r="G12" s="1">
        <f t="shared" ca="1" si="1"/>
        <v>7437</v>
      </c>
      <c r="H12" s="1">
        <f t="shared" ca="1" si="1"/>
        <v>7779</v>
      </c>
      <c r="I12" s="1">
        <f t="shared" ca="1" si="2"/>
        <v>0</v>
      </c>
      <c r="J12" s="1">
        <v>5</v>
      </c>
      <c r="K12" s="1">
        <f t="shared" ca="1" si="3"/>
        <v>25340</v>
      </c>
      <c r="L12" s="1">
        <f t="shared" ca="1" si="4"/>
        <v>19660</v>
      </c>
      <c r="M12" s="3">
        <v>45000</v>
      </c>
    </row>
    <row r="13" spans="1:13" x14ac:dyDescent="0.25">
      <c r="A13" s="2">
        <v>110</v>
      </c>
      <c r="B13" s="1"/>
      <c r="C13" s="1" t="s">
        <v>14</v>
      </c>
      <c r="D13" s="1">
        <f t="shared" ca="1" si="1"/>
        <v>5386</v>
      </c>
      <c r="E13" s="1">
        <f t="shared" ca="1" si="1"/>
        <v>2331</v>
      </c>
      <c r="F13" s="1">
        <f t="shared" ca="1" si="1"/>
        <v>3282</v>
      </c>
      <c r="G13" s="1">
        <f t="shared" ca="1" si="1"/>
        <v>5078</v>
      </c>
      <c r="H13" s="1">
        <f t="shared" ca="1" si="1"/>
        <v>2603</v>
      </c>
      <c r="I13" s="1">
        <f t="shared" ca="1" si="2"/>
        <v>0</v>
      </c>
      <c r="J13" s="1">
        <v>5</v>
      </c>
      <c r="K13" s="1">
        <f t="shared" ca="1" si="3"/>
        <v>18680</v>
      </c>
      <c r="L13" s="1">
        <f t="shared" ca="1" si="4"/>
        <v>26320</v>
      </c>
      <c r="M13" s="3">
        <v>45000</v>
      </c>
    </row>
    <row r="14" spans="1:13" x14ac:dyDescent="0.25">
      <c r="A14" s="2">
        <v>111</v>
      </c>
      <c r="B14" s="1"/>
      <c r="C14" s="1" t="s">
        <v>14</v>
      </c>
      <c r="D14" s="1"/>
      <c r="E14" s="1">
        <f t="shared" ca="1" si="1"/>
        <v>5842</v>
      </c>
      <c r="F14" s="1"/>
      <c r="G14" s="1">
        <f t="shared" ca="1" si="1"/>
        <v>7530</v>
      </c>
      <c r="H14" s="1">
        <f t="shared" ca="1" si="1"/>
        <v>7886</v>
      </c>
      <c r="I14" s="1">
        <f t="shared" ca="1" si="2"/>
        <v>2</v>
      </c>
      <c r="J14" s="1">
        <v>5</v>
      </c>
      <c r="K14" s="1">
        <f t="shared" ca="1" si="3"/>
        <v>21258</v>
      </c>
      <c r="L14" s="1">
        <f t="shared" ca="1" si="4"/>
        <v>23742</v>
      </c>
      <c r="M14" s="3">
        <v>45000</v>
      </c>
    </row>
    <row r="15" spans="1:13" x14ac:dyDescent="0.25">
      <c r="A15" s="2">
        <v>112</v>
      </c>
      <c r="B15" s="1"/>
      <c r="C15" s="1" t="s">
        <v>14</v>
      </c>
      <c r="D15" s="1">
        <f t="shared" ca="1" si="1"/>
        <v>4876</v>
      </c>
      <c r="E15" s="1">
        <f t="shared" ca="1" si="1"/>
        <v>3898</v>
      </c>
      <c r="F15" s="1">
        <f t="shared" ca="1" si="1"/>
        <v>7315</v>
      </c>
      <c r="G15" s="1">
        <f t="shared" ca="1" si="1"/>
        <v>3942</v>
      </c>
      <c r="H15" s="1">
        <f t="shared" ca="1" si="1"/>
        <v>4505</v>
      </c>
      <c r="I15" s="1">
        <f t="shared" ca="1" si="2"/>
        <v>0</v>
      </c>
      <c r="J15" s="1">
        <v>5</v>
      </c>
      <c r="K15" s="1">
        <f t="shared" ca="1" si="3"/>
        <v>24536</v>
      </c>
      <c r="L15" s="1">
        <f t="shared" ca="1" si="4"/>
        <v>20464</v>
      </c>
      <c r="M15" s="3">
        <v>45000</v>
      </c>
    </row>
    <row r="16" spans="1:13" x14ac:dyDescent="0.25">
      <c r="A16" s="2">
        <v>113</v>
      </c>
      <c r="B16" s="1"/>
      <c r="C16" s="1" t="s">
        <v>14</v>
      </c>
      <c r="D16" s="1">
        <f t="shared" ca="1" si="1"/>
        <v>5967</v>
      </c>
      <c r="E16" s="1">
        <f t="shared" ca="1" si="1"/>
        <v>1615</v>
      </c>
      <c r="F16" s="1">
        <f t="shared" ca="1" si="1"/>
        <v>1427</v>
      </c>
      <c r="G16" s="1">
        <f t="shared" ca="1" si="1"/>
        <v>5527</v>
      </c>
      <c r="H16" s="1">
        <f t="shared" ca="1" si="1"/>
        <v>4473</v>
      </c>
      <c r="I16" s="1">
        <f t="shared" ca="1" si="2"/>
        <v>0</v>
      </c>
      <c r="J16" s="1">
        <v>5</v>
      </c>
      <c r="K16" s="1">
        <f t="shared" ca="1" si="3"/>
        <v>19009</v>
      </c>
      <c r="L16" s="1">
        <f t="shared" ca="1" si="4"/>
        <v>25991</v>
      </c>
      <c r="M16" s="3">
        <v>45000</v>
      </c>
    </row>
    <row r="17" spans="1:13" x14ac:dyDescent="0.25">
      <c r="A17" s="2">
        <v>114</v>
      </c>
      <c r="B17" s="1"/>
      <c r="C17" s="1" t="s">
        <v>14</v>
      </c>
      <c r="D17" s="1">
        <f t="shared" ca="1" si="1"/>
        <v>4694</v>
      </c>
      <c r="E17" s="1">
        <f t="shared" ca="1" si="1"/>
        <v>2575</v>
      </c>
      <c r="F17" s="1">
        <f t="shared" ca="1" si="1"/>
        <v>2287</v>
      </c>
      <c r="G17" s="1">
        <f t="shared" ca="1" si="1"/>
        <v>8375</v>
      </c>
      <c r="H17" s="1">
        <f t="shared" ca="1" si="1"/>
        <v>2770</v>
      </c>
      <c r="I17" s="1">
        <f t="shared" ca="1" si="2"/>
        <v>0</v>
      </c>
      <c r="J17" s="1">
        <v>5</v>
      </c>
      <c r="K17" s="1">
        <f t="shared" ca="1" si="3"/>
        <v>20701</v>
      </c>
      <c r="L17" s="1">
        <f t="shared" ca="1" si="4"/>
        <v>24299</v>
      </c>
      <c r="M17" s="3">
        <v>45000</v>
      </c>
    </row>
    <row r="18" spans="1:13" x14ac:dyDescent="0.25">
      <c r="A18" s="2">
        <v>115</v>
      </c>
      <c r="B18" s="1"/>
      <c r="C18" s="1" t="s">
        <v>14</v>
      </c>
      <c r="D18" s="1">
        <f t="shared" ca="1" si="1"/>
        <v>7391</v>
      </c>
      <c r="E18" s="1">
        <f t="shared" ca="1" si="1"/>
        <v>6963</v>
      </c>
      <c r="F18" s="1">
        <f t="shared" ca="1" si="1"/>
        <v>3498</v>
      </c>
      <c r="G18" s="1">
        <f t="shared" ca="1" si="1"/>
        <v>6796</v>
      </c>
      <c r="H18" s="1">
        <f t="shared" ca="1" si="1"/>
        <v>2544</v>
      </c>
      <c r="I18" s="1">
        <f t="shared" ca="1" si="2"/>
        <v>0</v>
      </c>
      <c r="J18" s="1">
        <v>5</v>
      </c>
      <c r="K18" s="1">
        <f t="shared" ca="1" si="3"/>
        <v>27192</v>
      </c>
      <c r="L18" s="1">
        <f t="shared" ca="1" si="4"/>
        <v>17808</v>
      </c>
      <c r="M18" s="3">
        <v>45000</v>
      </c>
    </row>
    <row r="19" spans="1:13" x14ac:dyDescent="0.25">
      <c r="A19" s="2">
        <v>116</v>
      </c>
      <c r="B19" s="1"/>
      <c r="C19" s="1" t="s">
        <v>14</v>
      </c>
      <c r="D19" s="1">
        <f t="shared" ca="1" si="1"/>
        <v>7123</v>
      </c>
      <c r="E19" s="1">
        <f t="shared" ca="1" si="1"/>
        <v>7908</v>
      </c>
      <c r="F19" s="1">
        <f t="shared" ca="1" si="1"/>
        <v>7649</v>
      </c>
      <c r="G19" s="1">
        <f t="shared" ca="1" si="1"/>
        <v>6478</v>
      </c>
      <c r="H19" s="1">
        <f t="shared" ca="1" si="1"/>
        <v>7379</v>
      </c>
      <c r="I19" s="1">
        <f t="shared" ca="1" si="2"/>
        <v>0</v>
      </c>
      <c r="J19" s="1">
        <v>5</v>
      </c>
      <c r="K19" s="1">
        <f t="shared" ca="1" si="3"/>
        <v>36537</v>
      </c>
      <c r="L19" s="1">
        <f t="shared" ca="1" si="4"/>
        <v>8463</v>
      </c>
      <c r="M19" s="3">
        <v>45000</v>
      </c>
    </row>
    <row r="20" spans="1:13" x14ac:dyDescent="0.25">
      <c r="A20" s="2">
        <v>117</v>
      </c>
      <c r="B20" s="1"/>
      <c r="C20" s="1" t="s">
        <v>14</v>
      </c>
      <c r="D20" s="1">
        <f t="shared" ca="1" si="1"/>
        <v>6849</v>
      </c>
      <c r="E20" s="1">
        <f t="shared" ca="1" si="1"/>
        <v>3004</v>
      </c>
      <c r="F20" s="1">
        <f t="shared" ca="1" si="1"/>
        <v>4867</v>
      </c>
      <c r="G20" s="1">
        <f t="shared" ca="1" si="1"/>
        <v>7190</v>
      </c>
      <c r="H20" s="1">
        <f t="shared" ca="1" si="1"/>
        <v>2442</v>
      </c>
      <c r="I20" s="1">
        <f t="shared" ca="1" si="2"/>
        <v>0</v>
      </c>
      <c r="J20" s="1">
        <v>5</v>
      </c>
      <c r="K20" s="1">
        <f t="shared" ca="1" si="3"/>
        <v>24352</v>
      </c>
      <c r="L20" s="1">
        <f t="shared" ca="1" si="4"/>
        <v>20648</v>
      </c>
      <c r="M20" s="3">
        <v>45000</v>
      </c>
    </row>
    <row r="21" spans="1:13" x14ac:dyDescent="0.25">
      <c r="A21" s="7">
        <v>118</v>
      </c>
      <c r="B21" s="8"/>
      <c r="C21" s="8" t="s">
        <v>14</v>
      </c>
      <c r="D21" s="8">
        <f t="shared" ca="1" si="1"/>
        <v>6607</v>
      </c>
      <c r="E21" s="8">
        <f t="shared" ca="1" si="1"/>
        <v>1925</v>
      </c>
      <c r="F21" s="8">
        <f t="shared" ca="1" si="1"/>
        <v>7808</v>
      </c>
      <c r="G21" s="8">
        <f t="shared" ca="1" si="1"/>
        <v>6530</v>
      </c>
      <c r="H21" s="8">
        <f t="shared" ca="1" si="1"/>
        <v>8120</v>
      </c>
      <c r="I21" s="8">
        <f t="shared" ca="1" si="2"/>
        <v>0</v>
      </c>
      <c r="J21" s="8">
        <v>5</v>
      </c>
      <c r="K21" s="8">
        <f t="shared" ca="1" si="3"/>
        <v>30990</v>
      </c>
      <c r="L21" s="8">
        <f t="shared" ca="1" si="4"/>
        <v>14010</v>
      </c>
      <c r="M21" s="9">
        <v>45000</v>
      </c>
    </row>
  </sheetData>
  <mergeCells count="1">
    <mergeCell ref="A1:M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2026-01-31T11:20:59Z</dcterms:created>
  <dcterms:modified xsi:type="dcterms:W3CDTF">2026-02-07T11:26:40Z</dcterms:modified>
</cp:coreProperties>
</file>