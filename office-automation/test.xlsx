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fazal\"/>
    </mc:Choice>
  </mc:AlternateContent>
  <xr:revisionPtr revIDLastSave="0" documentId="8_{A3483C32-5FFC-43A9-884D-C4D65A22D999}" xr6:coauthVersionLast="47" xr6:coauthVersionMax="47" xr10:uidLastSave="{00000000-0000-0000-0000-000000000000}"/>
  <bookViews>
    <workbookView xWindow="-120" yWindow="-120" windowWidth="19440" windowHeight="15000" xr2:uid="{E6225D92-35A5-4092-8ED4-08C223AD27A0}"/>
  </bookViews>
  <sheets>
    <sheet name="Sheet1" sheetId="1" r:id="rId1"/>
  </sheets>
  <definedNames>
    <definedName name="_xlnm._FilterDatabase" localSheetId="0" hidden="1">Sheet1!$L$2:$M$11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" i="1" l="1"/>
  <c r="M4" i="1"/>
  <c r="C4" i="1"/>
  <c r="D4" i="1"/>
  <c r="E4" i="1"/>
  <c r="C5" i="1"/>
  <c r="D5" i="1"/>
  <c r="E5" i="1"/>
  <c r="C6" i="1"/>
  <c r="D6" i="1"/>
  <c r="E6" i="1"/>
  <c r="C7" i="1"/>
  <c r="D7" i="1"/>
  <c r="E7" i="1"/>
  <c r="D3" i="1"/>
  <c r="E3" i="1"/>
  <c r="M7" i="1" s="1"/>
  <c r="C3" i="1"/>
  <c r="M6" i="1" l="1"/>
  <c r="M5" i="1"/>
  <c r="F5" i="1"/>
  <c r="H5" i="1" s="1"/>
  <c r="I6" i="1" s="1"/>
  <c r="F6" i="1"/>
  <c r="H6" i="1" s="1"/>
  <c r="I7" i="1" s="1"/>
  <c r="F7" i="1"/>
  <c r="H7" i="1" s="1"/>
  <c r="F4" i="1"/>
  <c r="H4" i="1" s="1"/>
  <c r="I5" i="1" s="1"/>
  <c r="F3" i="1"/>
  <c r="M8" i="1" s="1"/>
  <c r="H3" i="1" l="1"/>
  <c r="I4" i="1" l="1"/>
  <c r="M10" i="1"/>
  <c r="I3" i="1"/>
  <c r="M11" i="1" l="1"/>
</calcChain>
</file>

<file path=xl/sharedStrings.xml><?xml version="1.0" encoding="utf-8"?>
<sst xmlns="http://schemas.openxmlformats.org/spreadsheetml/2006/main" count="25" uniqueCount="16">
  <si>
    <t>Marksheet</t>
  </si>
  <si>
    <t>Sr.no</t>
  </si>
  <si>
    <t>Name</t>
  </si>
  <si>
    <t xml:space="preserve">Che </t>
  </si>
  <si>
    <t>Phy</t>
  </si>
  <si>
    <t>Maths</t>
  </si>
  <si>
    <t>Obtained</t>
  </si>
  <si>
    <t>Grade</t>
  </si>
  <si>
    <t>Percentage</t>
  </si>
  <si>
    <t xml:space="preserve">Total </t>
  </si>
  <si>
    <t>Fazal</t>
  </si>
  <si>
    <t>Abbas</t>
  </si>
  <si>
    <t>Zaidi</t>
  </si>
  <si>
    <t>Syed</t>
  </si>
  <si>
    <t>Kazim</t>
  </si>
  <si>
    <t>Search By Roll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</si>
</sst>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4548-B1A3-468F-9B64-FF40206CE724}">
  <dimension ref="A1:M11"/>
  <sheetViews>
    <sheetView tabSelected="1" workbookViewId="0">
      <selection activeCell="H10" sqref="H10"/>
    </sheetView>
  </sheetViews>
  <sheetFormatPr defaultRowHeight="15" x14ac:dyDescent="0.25"/>
  <cols>
    <col min="8" max="8" width="10.7109375" customWidth="1"/>
    <col min="9" max="9" width="10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1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9</v>
      </c>
      <c r="H2" s="4" t="s">
        <v>8</v>
      </c>
      <c r="I2" s="4" t="s">
        <v>7</v>
      </c>
      <c r="L2" s="1" t="s">
        <v>15</v>
      </c>
      <c r="M2" s="3"/>
    </row>
    <row r="3" spans="1:13" x14ac:dyDescent="0.25">
      <c r="A3" s="4">
        <v>1</v>
      </c>
      <c r="B3" s="4" t="s">
        <v>10</v>
      </c>
      <c r="C3" s="4">
        <f ca="1">RANDBETWEEN(30,100)</f>
        <v>46</v>
      </c>
      <c r="D3" s="4">
        <f t="shared" ref="D3:E7" ca="1" si="0">RANDBETWEEN(30,100)</f>
        <v>92</v>
      </c>
      <c r="E3" s="4">
        <f t="shared" ca="1" si="0"/>
        <v>37</v>
      </c>
      <c r="F3" s="4">
        <f ca="1">SUM(C3:E3)</f>
        <v>175</v>
      </c>
      <c r="G3" s="4">
        <v>300</v>
      </c>
      <c r="H3" s="5">
        <f ca="1">F3*100/G3</f>
        <v>58.333333333333336</v>
      </c>
      <c r="I3" s="4" t="str">
        <f ca="1">IF(H3&gt;=80,"A1", IF(H3&gt;=70,"A", IF(H3&gt;=60,"B",IF(H3&gt;=50,"C",IF(H3&gt;=40,"D",IF(H3&gt;=30,"E",IF(H3&gt;=20,"F",IF(H3&gt;=10,"U"))))))))</f>
        <v>C</v>
      </c>
      <c r="L3" s="4" t="s">
        <v>1</v>
      </c>
      <c r="M3" s="4">
        <v>1</v>
      </c>
    </row>
    <row r="4" spans="1:13" x14ac:dyDescent="0.25">
      <c r="A4" s="4">
        <v>2</v>
      </c>
      <c r="B4" s="4" t="s">
        <v>11</v>
      </c>
      <c r="C4" s="4">
        <f t="shared" ref="C4:C7" ca="1" si="1">RANDBETWEEN(30,100)</f>
        <v>94</v>
      </c>
      <c r="D4" s="4">
        <f t="shared" ca="1" si="0"/>
        <v>82</v>
      </c>
      <c r="E4" s="4">
        <f t="shared" ca="1" si="0"/>
        <v>76</v>
      </c>
      <c r="F4" s="4">
        <f t="shared" ref="F4:F7" ca="1" si="2">SUM(C4:E4)</f>
        <v>252</v>
      </c>
      <c r="G4" s="4">
        <v>300</v>
      </c>
      <c r="H4" s="5">
        <f t="shared" ref="H4:H7" ca="1" si="3">F4*100/G4</f>
        <v>84</v>
      </c>
      <c r="I4" s="4" t="str">
        <f t="shared" ref="I4:I7" ca="1" si="4">IF(H3&gt;=80,"A1", IF(H3&gt;=70,"A", IF(H3&gt;=60,"B",IF(H3&gt;=50,"C",IF(H3&gt;=40,"D",IF(H3&gt;=30,"E",IF(H3&gt;=20,"F",IF(H3&gt;=10,"U"))))))))</f>
        <v>C</v>
      </c>
      <c r="L4" s="4" t="s">
        <v>2</v>
      </c>
      <c r="M4" s="4" t="str">
        <f>INDEX($A$2:$I$7,MATCH($M$3,$A$2:$A$7,0),MATCH(L4,$A$2:$I$2,0))</f>
        <v>Fazal</v>
      </c>
    </row>
    <row r="5" spans="1:13" x14ac:dyDescent="0.25">
      <c r="A5" s="4">
        <v>3</v>
      </c>
      <c r="B5" s="4" t="s">
        <v>12</v>
      </c>
      <c r="C5" s="4">
        <f t="shared" ca="1" si="1"/>
        <v>36</v>
      </c>
      <c r="D5" s="4">
        <f t="shared" ca="1" si="0"/>
        <v>35</v>
      </c>
      <c r="E5" s="4">
        <f t="shared" ca="1" si="0"/>
        <v>54</v>
      </c>
      <c r="F5" s="4">
        <f t="shared" ca="1" si="2"/>
        <v>125</v>
      </c>
      <c r="G5" s="4">
        <v>300</v>
      </c>
      <c r="H5" s="5">
        <f t="shared" ca="1" si="3"/>
        <v>41.666666666666664</v>
      </c>
      <c r="I5" s="4" t="str">
        <f t="shared" ca="1" si="4"/>
        <v>A1</v>
      </c>
      <c r="L5" s="4" t="s">
        <v>3</v>
      </c>
      <c r="M5" s="4">
        <f t="shared" ref="M5:M11" ca="1" si="5">INDEX($A$2:$I$7,MATCH($M$3,$A$2:$A$7,0),MATCH(L5,$A$2:$I$2,0))</f>
        <v>46</v>
      </c>
    </row>
    <row r="6" spans="1:13" x14ac:dyDescent="0.25">
      <c r="A6" s="4">
        <v>4</v>
      </c>
      <c r="B6" s="4" t="s">
        <v>13</v>
      </c>
      <c r="C6" s="4">
        <f t="shared" ca="1" si="1"/>
        <v>72</v>
      </c>
      <c r="D6" s="4">
        <f t="shared" ca="1" si="0"/>
        <v>76</v>
      </c>
      <c r="E6" s="4">
        <f t="shared" ca="1" si="0"/>
        <v>79</v>
      </c>
      <c r="F6" s="4">
        <f t="shared" ca="1" si="2"/>
        <v>227</v>
      </c>
      <c r="G6" s="4">
        <v>300</v>
      </c>
      <c r="H6" s="5">
        <f t="shared" ca="1" si="3"/>
        <v>75.666666666666671</v>
      </c>
      <c r="I6" s="4" t="str">
        <f t="shared" ca="1" si="4"/>
        <v>D</v>
      </c>
      <c r="L6" s="4" t="s">
        <v>4</v>
      </c>
      <c r="M6" s="4">
        <f t="shared" ca="1" si="5"/>
        <v>92</v>
      </c>
    </row>
    <row r="7" spans="1:13" x14ac:dyDescent="0.25">
      <c r="A7" s="4">
        <v>5</v>
      </c>
      <c r="B7" s="4" t="s">
        <v>14</v>
      </c>
      <c r="C7" s="4">
        <f t="shared" ca="1" si="1"/>
        <v>54</v>
      </c>
      <c r="D7" s="4">
        <f t="shared" ca="1" si="0"/>
        <v>85</v>
      </c>
      <c r="E7" s="4">
        <f t="shared" ca="1" si="0"/>
        <v>41</v>
      </c>
      <c r="F7" s="4">
        <f t="shared" ca="1" si="2"/>
        <v>180</v>
      </c>
      <c r="G7" s="4">
        <v>300</v>
      </c>
      <c r="H7" s="5">
        <f t="shared" ca="1" si="3"/>
        <v>60</v>
      </c>
      <c r="I7" s="4" t="str">
        <f t="shared" ca="1" si="4"/>
        <v>A</v>
      </c>
      <c r="L7" s="4" t="s">
        <v>5</v>
      </c>
      <c r="M7" s="4">
        <f t="shared" ca="1" si="5"/>
        <v>37</v>
      </c>
    </row>
    <row r="8" spans="1:13" x14ac:dyDescent="0.25">
      <c r="L8" s="4" t="s">
        <v>6</v>
      </c>
      <c r="M8" s="4">
        <f t="shared" ca="1" si="5"/>
        <v>175</v>
      </c>
    </row>
    <row r="9" spans="1:13" x14ac:dyDescent="0.25">
      <c r="L9" s="4" t="s">
        <v>9</v>
      </c>
      <c r="M9" s="4">
        <f t="shared" si="5"/>
        <v>300</v>
      </c>
    </row>
    <row r="10" spans="1:13" x14ac:dyDescent="0.25">
      <c r="L10" s="4" t="s">
        <v>8</v>
      </c>
      <c r="M10" s="4">
        <f t="shared" ca="1" si="5"/>
        <v>58.333333333333336</v>
      </c>
    </row>
    <row r="11" spans="1:13" x14ac:dyDescent="0.25">
      <c r="L11" s="4" t="s">
        <v>7</v>
      </c>
      <c r="M11" s="4" t="str">
        <f t="shared" ca="1" si="5"/>
        <v>C</v>
      </c>
    </row>
  </sheetData>
  <mergeCells count="2">
    <mergeCell ref="A1:I1"/>
    <mergeCell ref="L2:M2"/>
  </mergeCells>
  <dataValidations count="1">
    <dataValidation type="list" allowBlank="1" showInputMessage="1" showErrorMessage="1" sqref="M3" xr:uid="{A4A3DFC9-942D-4447-AD47-6A429094A86E}">
      <formula1>$A$3:$A$7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2026-02-12T10:25:54Z</dcterms:created>
  <dcterms:modified xsi:type="dcterms:W3CDTF">2026-02-12T11:07:43Z</dcterms:modified>
</cp:coreProperties>
</file>