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fazal\"/>
    </mc:Choice>
  </mc:AlternateContent>
  <xr:revisionPtr revIDLastSave="0" documentId="13_ncr:1_{5FB8B396-D592-4260-9A5A-E61AE89C874D}" xr6:coauthVersionLast="47" xr6:coauthVersionMax="47" xr10:uidLastSave="{00000000-0000-0000-0000-000000000000}"/>
  <bookViews>
    <workbookView minimized="1" xWindow="1035" yWindow="4005" windowWidth="14400" windowHeight="10755" xr2:uid="{E7DC212B-327D-4004-9F12-5F6E3BDB2F40}"/>
  </bookViews>
  <sheets>
    <sheet name="percentage" sheetId="1" r:id="rId1"/>
    <sheet name="Dashboar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" l="1"/>
  <c r="L7" i="1"/>
  <c r="L9" i="1"/>
  <c r="L11" i="1"/>
  <c r="C2" i="1"/>
  <c r="D2" i="1"/>
  <c r="E2" i="1"/>
  <c r="C3" i="1"/>
  <c r="D3" i="1"/>
  <c r="E3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L5" i="1" s="1"/>
  <c r="D9" i="1"/>
  <c r="L6" i="1" s="1"/>
  <c r="E9" i="1"/>
  <c r="C10" i="1"/>
  <c r="D10" i="1"/>
  <c r="E10" i="1"/>
  <c r="C11" i="1"/>
  <c r="D11" i="1"/>
  <c r="E11" i="1"/>
  <c r="F2" i="1" l="1"/>
  <c r="H2" i="1" s="1"/>
  <c r="I2" i="1" s="1"/>
  <c r="F8" i="1"/>
  <c r="H8" i="1" s="1"/>
  <c r="I8" i="1" s="1"/>
  <c r="F4" i="1"/>
  <c r="H4" i="1" s="1"/>
  <c r="I4" i="1" s="1"/>
  <c r="F10" i="1"/>
  <c r="H10" i="1" s="1"/>
  <c r="I10" i="1" s="1"/>
  <c r="F11" i="1"/>
  <c r="H11" i="1" s="1"/>
  <c r="I11" i="1" s="1"/>
  <c r="F6" i="1"/>
  <c r="H6" i="1" s="1"/>
  <c r="I6" i="1" s="1"/>
  <c r="F7" i="1"/>
  <c r="H7" i="1" s="1"/>
  <c r="I7" i="1" s="1"/>
  <c r="F3" i="1"/>
  <c r="F9" i="1"/>
  <c r="L8" i="1" s="1"/>
  <c r="F5" i="1"/>
  <c r="H9" i="1" l="1"/>
  <c r="H3" i="1"/>
  <c r="H5" i="1"/>
  <c r="I9" i="1" l="1"/>
  <c r="L10" i="1"/>
  <c r="I3" i="1"/>
  <c r="I5" i="1"/>
</calcChain>
</file>

<file path=xl/sharedStrings.xml><?xml version="1.0" encoding="utf-8"?>
<sst xmlns="http://schemas.openxmlformats.org/spreadsheetml/2006/main" count="29" uniqueCount="23">
  <si>
    <t>Sr No.</t>
  </si>
  <si>
    <t xml:space="preserve">Name </t>
  </si>
  <si>
    <t>Che</t>
  </si>
  <si>
    <t>Phy</t>
  </si>
  <si>
    <t xml:space="preserve">maths </t>
  </si>
  <si>
    <t>obtained</t>
  </si>
  <si>
    <t>total</t>
  </si>
  <si>
    <t>percentage</t>
  </si>
  <si>
    <t>fazal</t>
  </si>
  <si>
    <t>abbas</t>
  </si>
  <si>
    <t>zaidi</t>
  </si>
  <si>
    <t>syed</t>
  </si>
  <si>
    <t>hasan</t>
  </si>
  <si>
    <t>ibrahim</t>
  </si>
  <si>
    <t>desvai</t>
  </si>
  <si>
    <t>qasim</t>
  </si>
  <si>
    <t>hanzala</t>
  </si>
  <si>
    <t>imran</t>
  </si>
  <si>
    <t xml:space="preserve">Grade </t>
  </si>
  <si>
    <t>Name</t>
  </si>
  <si>
    <t>maths</t>
  </si>
  <si>
    <t>Grade</t>
  </si>
  <si>
    <t>Search By 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</si>
</sst>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41" fontId="2" fillId="0" borderId="0" applyFont="0" applyFill="0" applyBorder="0" applyAlignment="0" applyProtection="0"/>
    <xf numFmtId="0" fontId="3" fillId="3" borderId="2" applyNumberFormat="0" applyAlignment="0" applyProtection="0"/>
  </cellStyleXfs>
  <cellXfs count="10">
    <xf numFmtId="0" fontId="0" fillId="0" borderId="0" xfId="0"/>
    <xf numFmtId="0" fontId="1" fillId="2" borderId="1" xfId="1"/>
    <xf numFmtId="0" fontId="1" fillId="2" borderId="3" xfId="1" applyBorder="1"/>
    <xf numFmtId="0" fontId="1" fillId="2" borderId="4" xfId="1" applyBorder="1"/>
    <xf numFmtId="0" fontId="3" fillId="3" borderId="2" xfId="3"/>
    <xf numFmtId="2" fontId="3" fillId="3" borderId="2" xfId="3" applyNumberFormat="1"/>
    <xf numFmtId="41" fontId="3" fillId="3" borderId="2" xfId="2" applyFont="1" applyFill="1" applyBorder="1" applyProtection="1"/>
    <xf numFmtId="0" fontId="3" fillId="3" borderId="2" xfId="3" applyProtection="1"/>
    <xf numFmtId="0" fontId="0" fillId="0" borderId="5" xfId="0" applyBorder="1"/>
    <xf numFmtId="0" fontId="0" fillId="0" borderId="5" xfId="0" applyBorder="1" applyAlignment="1">
      <alignment horizontal="center"/>
    </xf>
  </cellXfs>
  <cellStyles count="4">
    <cellStyle name="Calculation" xfId="3" builtinId="22"/>
    <cellStyle name="Check Cell" xfId="1" builtinId="23"/>
    <cellStyle name="Comma [0]" xfId="2" builtinId="6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" formatCode="0.00"/>
    </dxf>
    <dxf>
      <border outline="0">
        <left style="thin">
          <color rgb="FF7F7F7F"/>
        </left>
      </border>
    </dxf>
    <dxf>
      <border outline="0">
        <left style="thin">
          <color rgb="FF7F7F7F"/>
        </left>
      </border>
      <protection locked="1" hidden="0"/>
    </dxf>
    <dxf>
      <border outline="0">
        <left style="thin">
          <color rgb="FF7F7F7F"/>
        </left>
        <right style="thin">
          <color rgb="FF7F7F7F"/>
        </right>
      </border>
      <protection locked="1" hidden="0"/>
    </dxf>
    <dxf>
      <border outline="0">
        <left style="thin">
          <color rgb="FF7F7F7F"/>
        </left>
        <right style="thin">
          <color rgb="FF7F7F7F"/>
        </right>
      </border>
      <protection locked="1" hidden="0"/>
    </dxf>
    <dxf>
      <border outline="0">
        <left style="thin">
          <color rgb="FF7F7F7F"/>
        </left>
        <right style="thin">
          <color rgb="FF7F7F7F"/>
        </right>
      </border>
      <protection locked="1" hidden="0"/>
    </dxf>
    <dxf>
      <border outline="0">
        <right style="thin">
          <color rgb="FF7F7F7F"/>
        </right>
      </border>
      <protection locked="1" hidden="0"/>
    </dxf>
    <dxf>
      <border outline="0">
        <right style="thin">
          <color rgb="FF7F7F7F"/>
        </right>
      </border>
    </dxf>
    <dxf>
      <border outline="0">
        <left style="double">
          <color rgb="FF3F3F3F"/>
        </left>
        <right style="double">
          <color rgb="FF3F3F3F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MarkSheet</a:t>
            </a:r>
          </a:p>
        </c:rich>
      </c:tx>
      <c:layout>
        <c:manualLayout>
          <c:xMode val="edge"/>
          <c:yMode val="edge"/>
          <c:x val="0.4118678915135607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percentage!$B$2:$B$11</c:f>
              <c:strCache>
                <c:ptCount val="10"/>
                <c:pt idx="0">
                  <c:v> fazal </c:v>
                </c:pt>
                <c:pt idx="1">
                  <c:v> abbas </c:v>
                </c:pt>
                <c:pt idx="2">
                  <c:v> zaidi </c:v>
                </c:pt>
                <c:pt idx="3">
                  <c:v> syed </c:v>
                </c:pt>
                <c:pt idx="4">
                  <c:v> hasan </c:v>
                </c:pt>
                <c:pt idx="5">
                  <c:v> ibrahim </c:v>
                </c:pt>
                <c:pt idx="6">
                  <c:v> desvai </c:v>
                </c:pt>
                <c:pt idx="7">
                  <c:v> qasim </c:v>
                </c:pt>
                <c:pt idx="8">
                  <c:v> hanzala </c:v>
                </c:pt>
                <c:pt idx="9">
                  <c:v> imran </c:v>
                </c:pt>
              </c:strCache>
            </c:strRef>
          </c:cat>
          <c:val>
            <c:numRef>
              <c:f>percentage!$C$2:$C$11</c:f>
              <c:numCache>
                <c:formatCode>_(* #,##0_);_(* \(#,##0\);_(* "-"_);_(@_)</c:formatCode>
                <c:ptCount val="10"/>
                <c:pt idx="0">
                  <c:v>41</c:v>
                </c:pt>
                <c:pt idx="1">
                  <c:v>79</c:v>
                </c:pt>
                <c:pt idx="2">
                  <c:v>32</c:v>
                </c:pt>
                <c:pt idx="3">
                  <c:v>46</c:v>
                </c:pt>
                <c:pt idx="4">
                  <c:v>84</c:v>
                </c:pt>
                <c:pt idx="5">
                  <c:v>75</c:v>
                </c:pt>
                <c:pt idx="6">
                  <c:v>66</c:v>
                </c:pt>
                <c:pt idx="7">
                  <c:v>33</c:v>
                </c:pt>
                <c:pt idx="8">
                  <c:v>64</c:v>
                </c:pt>
                <c:pt idx="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E-4368-94D3-220A0448BAB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percentage!$B$2:$B$11</c:f>
              <c:strCache>
                <c:ptCount val="10"/>
                <c:pt idx="0">
                  <c:v> fazal </c:v>
                </c:pt>
                <c:pt idx="1">
                  <c:v> abbas </c:v>
                </c:pt>
                <c:pt idx="2">
                  <c:v> zaidi </c:v>
                </c:pt>
                <c:pt idx="3">
                  <c:v> syed </c:v>
                </c:pt>
                <c:pt idx="4">
                  <c:v> hasan </c:v>
                </c:pt>
                <c:pt idx="5">
                  <c:v> ibrahim </c:v>
                </c:pt>
                <c:pt idx="6">
                  <c:v> desvai </c:v>
                </c:pt>
                <c:pt idx="7">
                  <c:v> qasim </c:v>
                </c:pt>
                <c:pt idx="8">
                  <c:v> hanzala </c:v>
                </c:pt>
                <c:pt idx="9">
                  <c:v> imran </c:v>
                </c:pt>
              </c:strCache>
            </c:strRef>
          </c:cat>
          <c:val>
            <c:numRef>
              <c:f>percentage!$D$2:$D$11</c:f>
              <c:numCache>
                <c:formatCode>_(* #,##0_);_(* \(#,##0\);_(* "-"_);_(@_)</c:formatCode>
                <c:ptCount val="10"/>
                <c:pt idx="0">
                  <c:v>82</c:v>
                </c:pt>
                <c:pt idx="1">
                  <c:v>86</c:v>
                </c:pt>
                <c:pt idx="2">
                  <c:v>48</c:v>
                </c:pt>
                <c:pt idx="3">
                  <c:v>45</c:v>
                </c:pt>
                <c:pt idx="4">
                  <c:v>37</c:v>
                </c:pt>
                <c:pt idx="5">
                  <c:v>89</c:v>
                </c:pt>
                <c:pt idx="6">
                  <c:v>77</c:v>
                </c:pt>
                <c:pt idx="7">
                  <c:v>76</c:v>
                </c:pt>
                <c:pt idx="8">
                  <c:v>67</c:v>
                </c:pt>
                <c:pt idx="9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9E-4368-94D3-220A0448BAB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percentage!$B$2:$B$11</c:f>
              <c:strCache>
                <c:ptCount val="10"/>
                <c:pt idx="0">
                  <c:v> fazal </c:v>
                </c:pt>
                <c:pt idx="1">
                  <c:v> abbas </c:v>
                </c:pt>
                <c:pt idx="2">
                  <c:v> zaidi </c:v>
                </c:pt>
                <c:pt idx="3">
                  <c:v> syed </c:v>
                </c:pt>
                <c:pt idx="4">
                  <c:v> hasan </c:v>
                </c:pt>
                <c:pt idx="5">
                  <c:v> ibrahim </c:v>
                </c:pt>
                <c:pt idx="6">
                  <c:v> desvai </c:v>
                </c:pt>
                <c:pt idx="7">
                  <c:v> qasim </c:v>
                </c:pt>
                <c:pt idx="8">
                  <c:v> hanzala </c:v>
                </c:pt>
                <c:pt idx="9">
                  <c:v> imran </c:v>
                </c:pt>
              </c:strCache>
            </c:strRef>
          </c:cat>
          <c:val>
            <c:numRef>
              <c:f>percentage!$E$2:$E$11</c:f>
              <c:numCache>
                <c:formatCode>_(* #,##0_);_(* \(#,##0\);_(* "-"_);_(@_)</c:formatCode>
                <c:ptCount val="10"/>
                <c:pt idx="0">
                  <c:v>90</c:v>
                </c:pt>
                <c:pt idx="1">
                  <c:v>71</c:v>
                </c:pt>
                <c:pt idx="2">
                  <c:v>68</c:v>
                </c:pt>
                <c:pt idx="3">
                  <c:v>64</c:v>
                </c:pt>
                <c:pt idx="4">
                  <c:v>95</c:v>
                </c:pt>
                <c:pt idx="5">
                  <c:v>98</c:v>
                </c:pt>
                <c:pt idx="6">
                  <c:v>75</c:v>
                </c:pt>
                <c:pt idx="7">
                  <c:v>86</c:v>
                </c:pt>
                <c:pt idx="8">
                  <c:v>34</c:v>
                </c:pt>
                <c:pt idx="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9E-4368-94D3-220A0448BAB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percentage!$B$2:$B$11</c:f>
              <c:strCache>
                <c:ptCount val="10"/>
                <c:pt idx="0">
                  <c:v> fazal </c:v>
                </c:pt>
                <c:pt idx="1">
                  <c:v> abbas </c:v>
                </c:pt>
                <c:pt idx="2">
                  <c:v> zaidi </c:v>
                </c:pt>
                <c:pt idx="3">
                  <c:v> syed </c:v>
                </c:pt>
                <c:pt idx="4">
                  <c:v> hasan </c:v>
                </c:pt>
                <c:pt idx="5">
                  <c:v> ibrahim </c:v>
                </c:pt>
                <c:pt idx="6">
                  <c:v> desvai </c:v>
                </c:pt>
                <c:pt idx="7">
                  <c:v> qasim </c:v>
                </c:pt>
                <c:pt idx="8">
                  <c:v> hanzala </c:v>
                </c:pt>
                <c:pt idx="9">
                  <c:v> imran </c:v>
                </c:pt>
              </c:strCache>
            </c:strRef>
          </c:cat>
          <c:val>
            <c:numRef>
              <c:f>percentage!$F$2:$F$11</c:f>
              <c:numCache>
                <c:formatCode>General</c:formatCode>
                <c:ptCount val="10"/>
                <c:pt idx="0">
                  <c:v>213</c:v>
                </c:pt>
                <c:pt idx="1">
                  <c:v>236</c:v>
                </c:pt>
                <c:pt idx="2">
                  <c:v>148</c:v>
                </c:pt>
                <c:pt idx="3">
                  <c:v>155</c:v>
                </c:pt>
                <c:pt idx="4">
                  <c:v>216</c:v>
                </c:pt>
                <c:pt idx="5">
                  <c:v>262</c:v>
                </c:pt>
                <c:pt idx="6">
                  <c:v>218</c:v>
                </c:pt>
                <c:pt idx="7">
                  <c:v>195</c:v>
                </c:pt>
                <c:pt idx="8">
                  <c:v>165</c:v>
                </c:pt>
                <c:pt idx="9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9E-4368-94D3-220A0448BAB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percentage!$B$2:$B$11</c:f>
              <c:strCache>
                <c:ptCount val="10"/>
                <c:pt idx="0">
                  <c:v> fazal </c:v>
                </c:pt>
                <c:pt idx="1">
                  <c:v> abbas </c:v>
                </c:pt>
                <c:pt idx="2">
                  <c:v> zaidi </c:v>
                </c:pt>
                <c:pt idx="3">
                  <c:v> syed </c:v>
                </c:pt>
                <c:pt idx="4">
                  <c:v> hasan </c:v>
                </c:pt>
                <c:pt idx="5">
                  <c:v> ibrahim </c:v>
                </c:pt>
                <c:pt idx="6">
                  <c:v> desvai </c:v>
                </c:pt>
                <c:pt idx="7">
                  <c:v> qasim </c:v>
                </c:pt>
                <c:pt idx="8">
                  <c:v> hanzala </c:v>
                </c:pt>
                <c:pt idx="9">
                  <c:v> imran </c:v>
                </c:pt>
              </c:strCache>
            </c:strRef>
          </c:cat>
          <c:val>
            <c:numRef>
              <c:f>percentage!$G$2:$G$11</c:f>
              <c:numCache>
                <c:formatCode>General</c:formatCode>
                <c:ptCount val="10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9E-4368-94D3-220A0448BAB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percentage!$B$2:$B$11</c:f>
              <c:strCache>
                <c:ptCount val="10"/>
                <c:pt idx="0">
                  <c:v> fazal </c:v>
                </c:pt>
                <c:pt idx="1">
                  <c:v> abbas </c:v>
                </c:pt>
                <c:pt idx="2">
                  <c:v> zaidi </c:v>
                </c:pt>
                <c:pt idx="3">
                  <c:v> syed </c:v>
                </c:pt>
                <c:pt idx="4">
                  <c:v> hasan </c:v>
                </c:pt>
                <c:pt idx="5">
                  <c:v> ibrahim </c:v>
                </c:pt>
                <c:pt idx="6">
                  <c:v> desvai </c:v>
                </c:pt>
                <c:pt idx="7">
                  <c:v> qasim </c:v>
                </c:pt>
                <c:pt idx="8">
                  <c:v> hanzala </c:v>
                </c:pt>
                <c:pt idx="9">
                  <c:v> imran </c:v>
                </c:pt>
              </c:strCache>
            </c:strRef>
          </c:cat>
          <c:val>
            <c:numRef>
              <c:f>percentage!$H$2:$H$11</c:f>
              <c:numCache>
                <c:formatCode>0.00</c:formatCode>
                <c:ptCount val="10"/>
                <c:pt idx="0">
                  <c:v>71</c:v>
                </c:pt>
                <c:pt idx="1">
                  <c:v>78.666666666666671</c:v>
                </c:pt>
                <c:pt idx="2">
                  <c:v>49.333333333333336</c:v>
                </c:pt>
                <c:pt idx="3">
                  <c:v>51.666666666666664</c:v>
                </c:pt>
                <c:pt idx="4">
                  <c:v>72</c:v>
                </c:pt>
                <c:pt idx="5">
                  <c:v>87.333333333333329</c:v>
                </c:pt>
                <c:pt idx="6">
                  <c:v>72.666666666666671</c:v>
                </c:pt>
                <c:pt idx="7">
                  <c:v>65</c:v>
                </c:pt>
                <c:pt idx="8">
                  <c:v>55</c:v>
                </c:pt>
                <c:pt idx="9">
                  <c:v>53.666666666666664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9E-4368-94D3-220A0448B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0887488"/>
        <c:axId val="430890368"/>
        <c:axId val="0"/>
      </c:bar3DChart>
      <c:catAx>
        <c:axId val="43088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30890368"/>
        <c:crosses val="autoZero"/>
        <c:auto val="1"/>
        <c:lblAlgn val="ctr"/>
        <c:lblOffset val="100"/>
        <c:noMultiLvlLbl val="0"/>
      </c:catAx>
      <c:valAx>
        <c:axId val="4308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3088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Employee%20Salary%20Sheet.xlsx" TargetMode="External"/><Relationship Id="rId2" Type="http://schemas.openxmlformats.org/officeDocument/2006/relationships/hyperlink" Target="Attendence%20Sheet.xlsx" TargetMode="External"/><Relationship Id="rId1" Type="http://schemas.openxmlformats.org/officeDocument/2006/relationships/hyperlink" Target="#percentage!A1"/><Relationship Id="rId4" Type="http://schemas.openxmlformats.org/officeDocument/2006/relationships/hyperlink" Target="Fees%20management%20System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12</xdr:row>
      <xdr:rowOff>61912</xdr:rowOff>
    </xdr:from>
    <xdr:to>
      <xdr:col>9</xdr:col>
      <xdr:colOff>171450</xdr:colOff>
      <xdr:row>26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6215A-6708-39A2-D6C1-090D6CF6A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662609</xdr:colOff>
      <xdr:row>1</xdr:row>
      <xdr:rowOff>69022</xdr:rowOff>
    </xdr:from>
    <xdr:to>
      <xdr:col>14</xdr:col>
      <xdr:colOff>1463261</xdr:colOff>
      <xdr:row>4</xdr:row>
      <xdr:rowOff>30922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3ADD6D-581C-435C-7309-31EEB54B9B14}"/>
            </a:ext>
          </a:extLst>
        </xdr:cNvPr>
        <xdr:cNvSpPr/>
      </xdr:nvSpPr>
      <xdr:spPr>
        <a:xfrm>
          <a:off x="12686196" y="276087"/>
          <a:ext cx="3975652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/>
            <a:t>Back To</a:t>
          </a:r>
          <a:r>
            <a:rPr lang="en-US" sz="3600" baseline="0"/>
            <a:t> Dashboard</a:t>
          </a:r>
          <a:endParaRPr lang="en-PK" sz="3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371474</xdr:colOff>
      <xdr:row>0</xdr:row>
      <xdr:rowOff>171450</xdr:rowOff>
    </xdr:from>
    <xdr:to>
      <xdr:col>11</xdr:col>
      <xdr:colOff>400049</xdr:colOff>
      <xdr:row>5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2CA2C8A-463C-F69F-2D14-5C4A1ACE3D8A}"/>
            </a:ext>
          </a:extLst>
        </xdr:cNvPr>
        <xdr:cNvSpPr/>
      </xdr:nvSpPr>
      <xdr:spPr>
        <a:xfrm>
          <a:off x="371474" y="171450"/>
          <a:ext cx="6734175" cy="9144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0"/>
            <a:t>Dashboard</a:t>
          </a:r>
          <a:endParaRPr lang="en-PK" sz="8000"/>
        </a:p>
      </xdr:txBody>
    </xdr:sp>
    <xdr:clientData/>
  </xdr:twoCellAnchor>
  <xdr:twoCellAnchor>
    <xdr:from>
      <xdr:col>2</xdr:col>
      <xdr:colOff>285749</xdr:colOff>
      <xdr:row>5</xdr:row>
      <xdr:rowOff>123825</xdr:rowOff>
    </xdr:from>
    <xdr:to>
      <xdr:col>9</xdr:col>
      <xdr:colOff>409575</xdr:colOff>
      <xdr:row>23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2138632-E1A8-6386-99D7-1F92F4B9B7C9}"/>
            </a:ext>
          </a:extLst>
        </xdr:cNvPr>
        <xdr:cNvSpPr/>
      </xdr:nvSpPr>
      <xdr:spPr>
        <a:xfrm>
          <a:off x="1504949" y="1076325"/>
          <a:ext cx="4391026" cy="3448050"/>
        </a:xfrm>
        <a:prstGeom prst="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K" sz="1100"/>
        </a:p>
      </xdr:txBody>
    </xdr:sp>
    <xdr:clientData/>
  </xdr:twoCellAnchor>
  <xdr:twoCellAnchor>
    <xdr:from>
      <xdr:col>3</xdr:col>
      <xdr:colOff>180975</xdr:colOff>
      <xdr:row>7</xdr:row>
      <xdr:rowOff>38100</xdr:rowOff>
    </xdr:from>
    <xdr:to>
      <xdr:col>8</xdr:col>
      <xdr:colOff>428625</xdr:colOff>
      <xdr:row>10</xdr:row>
      <xdr:rowOff>28575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41713-AB3D-9B46-0EFC-C7F1BBBA76D1}"/>
            </a:ext>
          </a:extLst>
        </xdr:cNvPr>
        <xdr:cNvSpPr/>
      </xdr:nvSpPr>
      <xdr:spPr>
        <a:xfrm>
          <a:off x="2009775" y="1371600"/>
          <a:ext cx="3295650" cy="561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/>
            <a:t>Marksheet</a:t>
          </a:r>
          <a:endParaRPr lang="en-PK" sz="4400"/>
        </a:p>
      </xdr:txBody>
    </xdr:sp>
    <xdr:clientData/>
  </xdr:twoCellAnchor>
  <xdr:twoCellAnchor>
    <xdr:from>
      <xdr:col>3</xdr:col>
      <xdr:colOff>190500</xdr:colOff>
      <xdr:row>11</xdr:row>
      <xdr:rowOff>57150</xdr:rowOff>
    </xdr:from>
    <xdr:to>
      <xdr:col>8</xdr:col>
      <xdr:colOff>400050</xdr:colOff>
      <xdr:row>14</xdr:row>
      <xdr:rowOff>104775</xdr:rowOff>
    </xdr:to>
    <xdr:sp macro="" textlink="">
      <xdr:nvSpPr>
        <xdr:cNvPr id="5" name="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21467C-ACEA-A545-2D53-CABCC138F762}"/>
            </a:ext>
          </a:extLst>
        </xdr:cNvPr>
        <xdr:cNvSpPr/>
      </xdr:nvSpPr>
      <xdr:spPr>
        <a:xfrm>
          <a:off x="2019300" y="2152650"/>
          <a:ext cx="3257550" cy="619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/>
            <a:t>Attendence Sheet</a:t>
          </a:r>
          <a:endParaRPr lang="en-PK" sz="3200"/>
        </a:p>
      </xdr:txBody>
    </xdr:sp>
    <xdr:clientData/>
  </xdr:twoCellAnchor>
  <xdr:twoCellAnchor>
    <xdr:from>
      <xdr:col>3</xdr:col>
      <xdr:colOff>209550</xdr:colOff>
      <xdr:row>15</xdr:row>
      <xdr:rowOff>57150</xdr:rowOff>
    </xdr:from>
    <xdr:to>
      <xdr:col>8</xdr:col>
      <xdr:colOff>419100</xdr:colOff>
      <xdr:row>18</xdr:row>
      <xdr:rowOff>133350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E7D71C-DE84-A52C-A881-11B9A455CAD8}"/>
            </a:ext>
          </a:extLst>
        </xdr:cNvPr>
        <xdr:cNvSpPr/>
      </xdr:nvSpPr>
      <xdr:spPr>
        <a:xfrm>
          <a:off x="2038350" y="2914650"/>
          <a:ext cx="3257550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Employee Salary Sheet</a:t>
          </a:r>
          <a:endParaRPr lang="en-PK" sz="2400"/>
        </a:p>
      </xdr:txBody>
    </xdr:sp>
    <xdr:clientData/>
  </xdr:twoCellAnchor>
  <xdr:twoCellAnchor>
    <xdr:from>
      <xdr:col>3</xdr:col>
      <xdr:colOff>228600</xdr:colOff>
      <xdr:row>19</xdr:row>
      <xdr:rowOff>133350</xdr:rowOff>
    </xdr:from>
    <xdr:to>
      <xdr:col>8</xdr:col>
      <xdr:colOff>419100</xdr:colOff>
      <xdr:row>22</xdr:row>
      <xdr:rowOff>57150</xdr:rowOff>
    </xdr:to>
    <xdr:sp macro="" textlink="">
      <xdr:nvSpPr>
        <xdr:cNvPr id="7" name="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79027C-2FBC-78F5-0283-581CEDF4F52C}"/>
            </a:ext>
          </a:extLst>
        </xdr:cNvPr>
        <xdr:cNvSpPr/>
      </xdr:nvSpPr>
      <xdr:spPr>
        <a:xfrm>
          <a:off x="2057400" y="3752850"/>
          <a:ext cx="3238500" cy="495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Fees Management System</a:t>
          </a:r>
          <a:r>
            <a:rPr lang="en-US" sz="2000" baseline="0"/>
            <a:t> </a:t>
          </a:r>
          <a:endParaRPr lang="en-PK" sz="2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02305-E3CA-482C-8F83-6F8A1BC06BF1}" name="Table1" displayName="Table1" ref="A1:I11" totalsRowShown="0" tableBorderDxfId="12" headerRowCellStyle="Check Cell" dataCellStyle="Calculation">
  <tableColumns count="9">
    <tableColumn id="1" xr3:uid="{A83AE24F-DE90-477E-9814-5732FB13A22C}" name="Sr No." dataDxfId="11" dataCellStyle="Calculation"/>
    <tableColumn id="2" xr3:uid="{8B2548A3-BAA0-452D-971E-05702DE8A261}" name="Name " dataDxfId="10" dataCellStyle="Comma [0]"/>
    <tableColumn id="3" xr3:uid="{9EEC98E8-F672-40C5-821C-FB7651140520}" name="Che" dataDxfId="9" dataCellStyle="Comma [0]">
      <calculatedColumnFormula>RANDBETWEEN(30,100)</calculatedColumnFormula>
    </tableColumn>
    <tableColumn id="4" xr3:uid="{62B7F945-0976-4F56-990F-4C5635E922C0}" name="Phy" dataDxfId="8" dataCellStyle="Comma [0]">
      <calculatedColumnFormula>RANDBETWEEN(30,100)</calculatedColumnFormula>
    </tableColumn>
    <tableColumn id="5" xr3:uid="{A36A8513-4168-4EC9-B95D-622E8DE4900B}" name="maths " dataDxfId="7" dataCellStyle="Comma [0]">
      <calculatedColumnFormula>RANDBETWEEN(30,100)</calculatedColumnFormula>
    </tableColumn>
    <tableColumn id="6" xr3:uid="{EA85C222-2949-4477-841B-550C984C2C7C}" name="obtained" dataDxfId="6" dataCellStyle="Calculation">
      <calculatedColumnFormula>SUM(C2:E2)</calculatedColumnFormula>
    </tableColumn>
    <tableColumn id="7" xr3:uid="{09A1F316-E2BE-41C1-8601-044A1DE20E9B}" name="total" dataDxfId="5" dataCellStyle="Calculation"/>
    <tableColumn id="8" xr3:uid="{73901099-DA5E-4CD5-9E8A-17E64E214CB8}" name="percentage" dataDxfId="4" dataCellStyle="Calculation">
      <calculatedColumnFormula>F2*100/G2</calculatedColumnFormula>
    </tableColumn>
    <tableColumn id="9" xr3:uid="{4283F5EE-2D70-4122-B31C-88F848575738}" name="Grade " dataCellStyle="Calculation">
      <calculatedColumnFormula>IF(H2&gt;=80,"A1", IF(H2&gt;=70,"A", IF(H2&gt;=60,"B",IF(H2&gt;=50,"C",IF(H2&gt;=40,"D",IF(H2&gt;=30,"E",IF(H2&gt;=20,"F",IF(H2&gt;=10,"U"))))))))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FCB6-CA83-4D3E-B42C-CE17361B61F4}">
  <dimension ref="A1:L11"/>
  <sheetViews>
    <sheetView tabSelected="1" zoomScale="69" zoomScaleNormal="69" workbookViewId="0">
      <selection activeCell="I2" sqref="I2"/>
    </sheetView>
  </sheetViews>
  <sheetFormatPr defaultColWidth="23.7109375" defaultRowHeight="15" x14ac:dyDescent="0.25"/>
  <cols>
    <col min="1" max="9" width="13.7109375" customWidth="1"/>
    <col min="11" max="11" width="10.7109375" bestFit="1" customWidth="1"/>
    <col min="12" max="12" width="22.7109375" customWidth="1"/>
  </cols>
  <sheetData>
    <row r="1" spans="1:12" ht="16.5" thickTop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18</v>
      </c>
    </row>
    <row r="2" spans="1:12" ht="26.1" customHeight="1" thickTop="1" x14ac:dyDescent="0.25">
      <c r="A2" s="4">
        <v>1</v>
      </c>
      <c r="B2" s="6" t="s">
        <v>8</v>
      </c>
      <c r="C2" s="6">
        <f ca="1">RANDBETWEEN(30,100)</f>
        <v>41</v>
      </c>
      <c r="D2" s="6">
        <f t="shared" ref="D2:E2" ca="1" si="0">RANDBETWEEN(30,100)</f>
        <v>82</v>
      </c>
      <c r="E2" s="6">
        <f t="shared" ca="1" si="0"/>
        <v>90</v>
      </c>
      <c r="F2" s="7">
        <f ca="1">SUM(C2:E2)</f>
        <v>213</v>
      </c>
      <c r="G2" s="4">
        <v>300</v>
      </c>
      <c r="H2" s="5">
        <f ca="1">F2*100/G2</f>
        <v>71</v>
      </c>
      <c r="I2" s="4" t="str">
        <f ca="1">IF(H2&gt;=80,"A1", IF(H2&gt;=70,"A", IF(H2&gt;=60,"B",IF(H2&gt;=50,"C",IF(H2&gt;=40,"D",IF(H2&gt;=30,"E",IF(H2&gt;=20,"F",IF(H2&gt;=10,"U"))))))))</f>
        <v>A</v>
      </c>
      <c r="K2" s="9" t="s">
        <v>22</v>
      </c>
      <c r="L2" s="9"/>
    </row>
    <row r="3" spans="1:12" ht="26.1" customHeight="1" x14ac:dyDescent="0.25">
      <c r="A3" s="4">
        <v>2</v>
      </c>
      <c r="B3" s="6" t="s">
        <v>9</v>
      </c>
      <c r="C3" s="6">
        <f t="shared" ref="C3:E11" ca="1" si="1">RANDBETWEEN(30,100)</f>
        <v>79</v>
      </c>
      <c r="D3" s="6">
        <f t="shared" ca="1" si="1"/>
        <v>86</v>
      </c>
      <c r="E3" s="6">
        <f t="shared" ca="1" si="1"/>
        <v>71</v>
      </c>
      <c r="F3" s="7">
        <f t="shared" ref="F3:F11" ca="1" si="2">SUM(C3:E3)</f>
        <v>236</v>
      </c>
      <c r="G3" s="4">
        <v>300</v>
      </c>
      <c r="H3" s="5">
        <f ca="1">F3*100/G3</f>
        <v>78.666666666666671</v>
      </c>
      <c r="I3" s="4" t="str">
        <f t="shared" ref="I3:I10" ca="1" si="3">IF(H3&gt;=80,"A1", IF(H3&gt;=70,"A", IF(H3&gt;=60,"B",IF(H3&gt;=50,"C",IF(H3&gt;=40,"D",IF(H3&gt;=30,"E",IF(H3&gt;=20,"F",IF(H3&gt;=10,"U"))))))))</f>
        <v>A</v>
      </c>
      <c r="K3" s="8" t="s">
        <v>0</v>
      </c>
      <c r="L3" s="8">
        <v>8</v>
      </c>
    </row>
    <row r="4" spans="1:12" ht="26.1" customHeight="1" x14ac:dyDescent="0.25">
      <c r="A4" s="4">
        <v>3</v>
      </c>
      <c r="B4" s="6" t="s">
        <v>10</v>
      </c>
      <c r="C4" s="6">
        <f t="shared" ca="1" si="1"/>
        <v>32</v>
      </c>
      <c r="D4" s="6">
        <f t="shared" ca="1" si="1"/>
        <v>48</v>
      </c>
      <c r="E4" s="6">
        <f t="shared" ca="1" si="1"/>
        <v>68</v>
      </c>
      <c r="F4" s="7">
        <f ca="1">SUM(C4:E4)</f>
        <v>148</v>
      </c>
      <c r="G4" s="4">
        <v>300</v>
      </c>
      <c r="H4" s="5">
        <f t="shared" ref="H4:H11" ca="1" si="4">F4*100/G4</f>
        <v>49.333333333333336</v>
      </c>
      <c r="I4" s="4" t="str">
        <f t="shared" ca="1" si="3"/>
        <v>D</v>
      </c>
      <c r="K4" s="8" t="s">
        <v>19</v>
      </c>
      <c r="L4" s="8" t="e">
        <f>INDEX($A$1:$I$11,MATCH($L$3,$A$1:$A$10,0),MATCH(K4,$A$1:$I$1,0))</f>
        <v>#N/A</v>
      </c>
    </row>
    <row r="5" spans="1:12" ht="26.1" customHeight="1" x14ac:dyDescent="0.25">
      <c r="A5" s="4">
        <v>4</v>
      </c>
      <c r="B5" s="6" t="s">
        <v>11</v>
      </c>
      <c r="C5" s="6">
        <f t="shared" ca="1" si="1"/>
        <v>46</v>
      </c>
      <c r="D5" s="6">
        <f t="shared" ca="1" si="1"/>
        <v>45</v>
      </c>
      <c r="E5" s="6">
        <f t="shared" ca="1" si="1"/>
        <v>64</v>
      </c>
      <c r="F5" s="7">
        <f t="shared" ca="1" si="2"/>
        <v>155</v>
      </c>
      <c r="G5" s="4">
        <v>300</v>
      </c>
      <c r="H5" s="5">
        <f t="shared" ca="1" si="4"/>
        <v>51.666666666666664</v>
      </c>
      <c r="I5" s="4" t="str">
        <f t="shared" ca="1" si="3"/>
        <v>C</v>
      </c>
      <c r="K5" s="8" t="s">
        <v>2</v>
      </c>
      <c r="L5" s="8">
        <f ca="1">INDEX($A$1:$I$11,MATCH($L$3,$A$1:$A$10,0),MATCH(K5,$A$1:$I$1,0))</f>
        <v>33</v>
      </c>
    </row>
    <row r="6" spans="1:12" ht="26.1" customHeight="1" x14ac:dyDescent="0.25">
      <c r="A6" s="4">
        <v>5</v>
      </c>
      <c r="B6" s="6" t="s">
        <v>12</v>
      </c>
      <c r="C6" s="6">
        <f t="shared" ca="1" si="1"/>
        <v>84</v>
      </c>
      <c r="D6" s="6">
        <f t="shared" ca="1" si="1"/>
        <v>37</v>
      </c>
      <c r="E6" s="6">
        <f t="shared" ca="1" si="1"/>
        <v>95</v>
      </c>
      <c r="F6" s="7">
        <f t="shared" ca="1" si="2"/>
        <v>216</v>
      </c>
      <c r="G6" s="4">
        <v>300</v>
      </c>
      <c r="H6" s="5">
        <f t="shared" ca="1" si="4"/>
        <v>72</v>
      </c>
      <c r="I6" s="4" t="str">
        <f t="shared" ca="1" si="3"/>
        <v>A</v>
      </c>
      <c r="K6" s="8" t="s">
        <v>3</v>
      </c>
      <c r="L6" s="8">
        <f ca="1">INDEX($A$1:$I$11,MATCH($L$3,$A$1:$A$10,0),MATCH(K6,$A$1:$I$1,0))</f>
        <v>76</v>
      </c>
    </row>
    <row r="7" spans="1:12" ht="26.1" customHeight="1" x14ac:dyDescent="0.25">
      <c r="A7" s="4">
        <v>6</v>
      </c>
      <c r="B7" s="6" t="s">
        <v>13</v>
      </c>
      <c r="C7" s="6">
        <f t="shared" ca="1" si="1"/>
        <v>75</v>
      </c>
      <c r="D7" s="6">
        <f t="shared" ca="1" si="1"/>
        <v>89</v>
      </c>
      <c r="E7" s="6">
        <f t="shared" ca="1" si="1"/>
        <v>98</v>
      </c>
      <c r="F7" s="7">
        <f t="shared" ca="1" si="2"/>
        <v>262</v>
      </c>
      <c r="G7" s="4">
        <v>300</v>
      </c>
      <c r="H7" s="5">
        <f t="shared" ca="1" si="4"/>
        <v>87.333333333333329</v>
      </c>
      <c r="I7" s="4" t="str">
        <f t="shared" ca="1" si="3"/>
        <v>A1</v>
      </c>
      <c r="K7" s="8" t="s">
        <v>20</v>
      </c>
      <c r="L7" s="8" t="e">
        <f t="shared" ref="L7:L11" si="5">INDEX($A$1:$I$10,MATCH($L$3,$A$1:$A$10,0),MATCH(K7,$A$1:$I$1,0))</f>
        <v>#N/A</v>
      </c>
    </row>
    <row r="8" spans="1:12" ht="26.1" customHeight="1" x14ac:dyDescent="0.25">
      <c r="A8" s="4">
        <v>7</v>
      </c>
      <c r="B8" s="6" t="s">
        <v>14</v>
      </c>
      <c r="C8" s="6">
        <f t="shared" ca="1" si="1"/>
        <v>66</v>
      </c>
      <c r="D8" s="6">
        <f t="shared" ca="1" si="1"/>
        <v>77</v>
      </c>
      <c r="E8" s="6">
        <f t="shared" ca="1" si="1"/>
        <v>75</v>
      </c>
      <c r="F8" s="7">
        <f t="shared" ca="1" si="2"/>
        <v>218</v>
      </c>
      <c r="G8" s="4">
        <v>300</v>
      </c>
      <c r="H8" s="5">
        <f t="shared" ca="1" si="4"/>
        <v>72.666666666666671</v>
      </c>
      <c r="I8" s="4" t="str">
        <f t="shared" ca="1" si="3"/>
        <v>A</v>
      </c>
      <c r="K8" s="8" t="s">
        <v>5</v>
      </c>
      <c r="L8" s="8">
        <f t="shared" ca="1" si="5"/>
        <v>195</v>
      </c>
    </row>
    <row r="9" spans="1:12" ht="26.1" customHeight="1" x14ac:dyDescent="0.25">
      <c r="A9" s="4">
        <v>8</v>
      </c>
      <c r="B9" s="6" t="s">
        <v>15</v>
      </c>
      <c r="C9" s="6">
        <f t="shared" ca="1" si="1"/>
        <v>33</v>
      </c>
      <c r="D9" s="6">
        <f t="shared" ca="1" si="1"/>
        <v>76</v>
      </c>
      <c r="E9" s="6">
        <f t="shared" ca="1" si="1"/>
        <v>86</v>
      </c>
      <c r="F9" s="7">
        <f t="shared" ca="1" si="2"/>
        <v>195</v>
      </c>
      <c r="G9" s="4">
        <v>300</v>
      </c>
      <c r="H9" s="5">
        <f t="shared" ca="1" si="4"/>
        <v>65</v>
      </c>
      <c r="I9" s="4" t="str">
        <f t="shared" ca="1" si="3"/>
        <v>B</v>
      </c>
      <c r="K9" s="8" t="s">
        <v>6</v>
      </c>
      <c r="L9" s="8">
        <f t="shared" si="5"/>
        <v>300</v>
      </c>
    </row>
    <row r="10" spans="1:12" ht="26.1" customHeight="1" x14ac:dyDescent="0.25">
      <c r="A10" s="4">
        <v>9</v>
      </c>
      <c r="B10" s="6" t="s">
        <v>16</v>
      </c>
      <c r="C10" s="6">
        <f t="shared" ca="1" si="1"/>
        <v>64</v>
      </c>
      <c r="D10" s="6">
        <f t="shared" ca="1" si="1"/>
        <v>67</v>
      </c>
      <c r="E10" s="6">
        <f t="shared" ca="1" si="1"/>
        <v>34</v>
      </c>
      <c r="F10" s="7">
        <f t="shared" ca="1" si="2"/>
        <v>165</v>
      </c>
      <c r="G10" s="4">
        <v>300</v>
      </c>
      <c r="H10" s="5">
        <f t="shared" ca="1" si="4"/>
        <v>55</v>
      </c>
      <c r="I10" s="4" t="str">
        <f t="shared" ca="1" si="3"/>
        <v>C</v>
      </c>
      <c r="K10" s="8" t="s">
        <v>7</v>
      </c>
      <c r="L10" s="8">
        <f t="shared" ca="1" si="5"/>
        <v>65</v>
      </c>
    </row>
    <row r="11" spans="1:12" ht="26.1" customHeight="1" x14ac:dyDescent="0.25">
      <c r="A11" s="4">
        <v>10</v>
      </c>
      <c r="B11" s="6" t="s">
        <v>17</v>
      </c>
      <c r="C11" s="6">
        <f t="shared" ca="1" si="1"/>
        <v>36</v>
      </c>
      <c r="D11" s="6">
        <f t="shared" ca="1" si="1"/>
        <v>71</v>
      </c>
      <c r="E11" s="6">
        <f t="shared" ca="1" si="1"/>
        <v>54</v>
      </c>
      <c r="F11" s="7">
        <f t="shared" ca="1" si="2"/>
        <v>161</v>
      </c>
      <c r="G11" s="4">
        <v>300</v>
      </c>
      <c r="H11" s="5">
        <f t="shared" ca="1" si="4"/>
        <v>53.666666666666664</v>
      </c>
      <c r="I11" s="4" t="str">
        <f ca="1">IF(H11&gt;=80,"A1", IF(H11&gt;=70,"A", IF(H11&gt;=60,"B",IF(H11&gt;=50,"C",IF(H11&gt;=40,"D",IF(H11&gt;=30,"E",IF(H11&gt;=20,"F",IF(H11&gt;=10,"U"))))))))</f>
        <v>C</v>
      </c>
      <c r="K11" s="8" t="s">
        <v>21</v>
      </c>
      <c r="L11" s="8" t="e">
        <f t="shared" si="5"/>
        <v>#N/A</v>
      </c>
    </row>
  </sheetData>
  <mergeCells count="1">
    <mergeCell ref="K2:L2"/>
  </mergeCells>
  <conditionalFormatting sqref="C2:E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{A56337B0-391B-41BA-86F0-960BA67BF7FD}</x14:id>
        </ext>
      </extLst>
    </cfRule>
    <cfRule type="cellIs" dxfId="3" priority="6" operator="between">
      <formula>50</formula>
      <formula>60</formula>
    </cfRule>
    <cfRule type="cellIs" dxfId="2" priority="7" operator="lessThan">
      <formula>30</formula>
    </cfRule>
    <cfRule type="cellIs" dxfId="1" priority="8" operator="greaterThan">
      <formula>80</formula>
    </cfRule>
  </conditionalFormatting>
  <conditionalFormatting sqref="H2:H11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I2:I11"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  <cfRule type="containsText" dxfId="0" priority="5" operator="containsText" text="F">
      <formula>NOT(ISERROR(SEARCH("F",I2)))</formula>
    </cfRule>
  </conditionalFormatting>
  <dataValidations count="1">
    <dataValidation type="list" allowBlank="1" showInputMessage="1" showErrorMessage="1" sqref="L3" xr:uid="{34740AA2-D025-4C0D-9FDE-6360B289D84D}">
      <formula1>$A$2:$A$11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6337B0-391B-41BA-86F0-960BA67BF7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C2:E11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1405419B-7C35-4B7B-A17D-B41273772F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percentage!H2:H2</xm:f>
              <xm:sqref>I2</xm:sqref>
            </x14:sparkline>
            <x14:sparkline>
              <xm:f>percentage!H3:H3</xm:f>
              <xm:sqref>I3</xm:sqref>
            </x14:sparkline>
            <x14:sparkline>
              <xm:f>percentage!H4:H4</xm:f>
              <xm:sqref>I4</xm:sqref>
            </x14:sparkline>
            <x14:sparkline>
              <xm:f>percentage!H5:H5</xm:f>
              <xm:sqref>I5</xm:sqref>
            </x14:sparkline>
            <x14:sparkline>
              <xm:f>percentage!H6:H6</xm:f>
              <xm:sqref>I6</xm:sqref>
            </x14:sparkline>
            <x14:sparkline>
              <xm:f>percentage!H7:H7</xm:f>
              <xm:sqref>I7</xm:sqref>
            </x14:sparkline>
            <x14:sparkline>
              <xm:f>percentage!H8:H8</xm:f>
              <xm:sqref>I8</xm:sqref>
            </x14:sparkline>
            <x14:sparkline>
              <xm:f>percentage!H9:H9</xm:f>
              <xm:sqref>I9</xm:sqref>
            </x14:sparkline>
            <x14:sparkline>
              <xm:f>percentage!H10:H10</xm:f>
              <xm:sqref>I10</xm:sqref>
            </x14:sparkline>
            <x14:sparkline>
              <xm:f>percentage!H11:H11</xm:f>
              <xm:sqref>I11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693E-5594-4ADC-B121-3F765E3D351F}">
  <dimension ref="A1"/>
  <sheetViews>
    <sheetView workbookViewId="0">
      <selection activeCell="O20" sqref="O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percentage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2026-01-24T11:02:56Z</dcterms:created>
  <dcterms:modified xsi:type="dcterms:W3CDTF">2026-02-12T10:52:24Z</dcterms:modified>
</cp:coreProperties>
</file>